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<sst xmlns="http://schemas.openxmlformats.org/spreadsheetml/2006/main" count="136" uniqueCount="108">
  <si>
    <t>无人机服务的信息采集</t>
  </si>
  <si>
    <t>核心服务</t>
  </si>
  <si>
    <t>基本信息</t>
  </si>
  <si>
    <t>服务详情</t>
  </si>
  <si>
    <t>无人机巡检服务</t>
  </si>
  <si>
    <t>登记联系人</t>
  </si>
  <si>
    <t>联系电话</t>
  </si>
  <si>
    <t>服务类型</t>
  </si>
  <si>
    <t>巡检区域</t>
  </si>
  <si>
    <t>巡检时间</t>
  </si>
  <si>
    <t>需求说明</t>
  </si>
  <si>
    <t>例图：</t>
  </si>
  <si>
    <t>无人机物流服务</t>
  </si>
  <si>
    <t>客户类型</t>
  </si>
  <si>
    <t>货物类型</t>
  </si>
  <si>
    <t>货物重量</t>
  </si>
  <si>
    <t>货物体积</t>
  </si>
  <si>
    <t>起运点</t>
  </si>
  <si>
    <t>详细地址</t>
  </si>
  <si>
    <t>目的地</t>
  </si>
  <si>
    <t>运输时效</t>
  </si>
  <si>
    <t>期望运输时间</t>
  </si>
  <si>
    <t>货物照片</t>
  </si>
  <si>
    <t>备注说明</t>
  </si>
  <si>
    <t>无人机吊运服务</t>
  </si>
  <si>
    <t>吊运物品</t>
  </si>
  <si>
    <t>物品重量（kg）</t>
  </si>
  <si>
    <t>作业地点</t>
  </si>
  <si>
    <t>吊运高度（m）</t>
  </si>
  <si>
    <t>无人机表演服务</t>
  </si>
  <si>
    <t>表演目的</t>
  </si>
  <si>
    <t>表演日期</t>
  </si>
  <si>
    <t>表演时段</t>
  </si>
  <si>
    <t>是否备用雨天/延期日期</t>
  </si>
  <si>
    <t>表演规模</t>
  </si>
  <si>
    <t>无人机托管服务</t>
  </si>
  <si>
    <t>无人机型号</t>
  </si>
  <si>
    <t>托管数量</t>
  </si>
  <si>
    <t>托管时长</t>
  </si>
  <si>
    <t>无人机外卖配送</t>
  </si>
  <si>
    <t>点击任意地方就可以跳转</t>
  </si>
  <si>
    <t>培训教育与赛事举办</t>
  </si>
  <si>
    <t>信息填写</t>
  </si>
  <si>
    <t>无人机赛事</t>
  </si>
  <si>
    <t>注册类型</t>
  </si>
  <si>
    <t>单位名称</t>
  </si>
  <si>
    <t>姓名</t>
  </si>
  <si>
    <t>性别</t>
  </si>
  <si>
    <t>证件号</t>
  </si>
  <si>
    <t>组别</t>
  </si>
  <si>
    <t>电子邮箱</t>
  </si>
  <si>
    <t>备注</t>
  </si>
  <si>
    <t>飞手培训</t>
  </si>
  <si>
    <t>出生日期</t>
  </si>
  <si>
    <t>身份证号</t>
  </si>
  <si>
    <t>考试机型</t>
  </si>
  <si>
    <t>证照级别</t>
  </si>
  <si>
    <t>有无基础</t>
  </si>
  <si>
    <t>少儿培训</t>
  </si>
  <si>
    <t>年龄</t>
  </si>
  <si>
    <t>在读年级</t>
  </si>
  <si>
    <t>家长姓名</t>
  </si>
  <si>
    <t>家长手机号</t>
  </si>
  <si>
    <t>有无无人机基础</t>
  </si>
  <si>
    <t>感兴趣方向</t>
  </si>
  <si>
    <t>上课时间</t>
  </si>
  <si>
    <t>报名意向</t>
  </si>
  <si>
    <t>增值服务</t>
  </si>
  <si>
    <t>个人客户基本信息</t>
  </si>
  <si>
    <t>企业/单位登记信息</t>
  </si>
  <si>
    <t>无人机租赁服务</t>
  </si>
  <si>
    <t>收货/自提点</t>
  </si>
  <si>
    <t>紧急联系人</t>
  </si>
  <si>
    <t>电话</t>
  </si>
  <si>
    <t>公司全称</t>
  </si>
  <si>
    <t>统一社会信用代码</t>
  </si>
  <si>
    <t>营业执照上传</t>
  </si>
  <si>
    <t>单位通讯地址</t>
  </si>
  <si>
    <t>无人机飞手登记</t>
  </si>
  <si>
    <t>手机号</t>
  </si>
  <si>
    <t>常驻城市</t>
  </si>
  <si>
    <t>持证情况（必填）</t>
  </si>
  <si>
    <t>所持证书等级</t>
  </si>
  <si>
    <t>证书编号</t>
  </si>
  <si>
    <t>擅长飞行种类</t>
  </si>
  <si>
    <t>飞行实操年限</t>
  </si>
  <si>
    <t>是否自有设备</t>
  </si>
  <si>
    <t>入职身份</t>
  </si>
  <si>
    <t>个人简介</t>
  </si>
  <si>
    <t>无人机飞行计划报备</t>
  </si>
  <si>
    <t>飞手姓名</t>
  </si>
  <si>
    <t>飞手资质类型</t>
  </si>
  <si>
    <t>是否完成无人机实名登记</t>
  </si>
  <si>
    <t>飞行设备信息</t>
  </si>
  <si>
    <t>飞行任务类型</t>
  </si>
  <si>
    <t>飞行任务详情用途</t>
  </si>
  <si>
    <t>飞行地点（精确到街道）</t>
  </si>
  <si>
    <t>飞行起止日期</t>
  </si>
  <si>
    <t>飞行最大高度</t>
  </si>
  <si>
    <t>飞行作业半径</t>
  </si>
  <si>
    <t>飞行空域环境</t>
  </si>
  <si>
    <t>机组人员配置</t>
  </si>
  <si>
    <t>1.设备机型</t>
  </si>
  <si>
    <t>主飞手：</t>
  </si>
  <si>
    <t>2.设备机身SN码</t>
  </si>
  <si>
    <t>安全员：</t>
  </si>
  <si>
    <t>3.设备年检与故障情况</t>
  </si>
  <si>
    <t>现场负责人：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</si>
</sst>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sz val="11"/>
      <color rgb="FF000000"/>
      <name val="宋体"/>
      <charset val="134"/>
    </font>
    <font>
      <sz val="10"/>
      <color rgb="FF333333"/>
      <name val="微软雅黑"/>
      <charset val="134"/>
    </font>
    <font>
      <sz val="10"/>
      <color rgb="FFFF0000"/>
      <name val="微软雅黑"/>
      <charset val="134"/>
    </font>
    <font>
      <sz val="10"/>
      <color theme="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2" applyNumberFormat="0" applyAlignment="0" applyProtection="0">
      <alignment vertical="center"/>
    </xf>
    <xf numFmtId="0" fontId="16" fillId="8" borderId="23" applyNumberFormat="0" applyAlignment="0" applyProtection="0">
      <alignment vertical="center"/>
    </xf>
    <xf numFmtId="0" fontId="17" fillId="8" borderId="22" applyNumberFormat="0" applyAlignment="0" applyProtection="0">
      <alignment vertical="center"/>
    </xf>
    <xf numFmtId="0" fontId="18" fillId="9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workbookViewId="0">
      <selection activeCell="A1" sqref="A1:R23"/>
    </sheetView>
  </sheetViews>
  <sheetFormatPr defaultColWidth="9" defaultRowHeight="13.5"/>
  <sheetData>
    <row r="1" ht="21.75" spans="1: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</row>
    <row r="2" ht="16.5" spans="1:18">
      <c r="A2" s="3" t="s">
        <v>1</v>
      </c>
      <c r="B2" s="4" t="s">
        <v>2</v>
      </c>
      <c r="C2" s="5"/>
      <c r="D2" s="4" t="s">
        <v>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ht="33" spans="1:18">
      <c r="A3" s="7" t="s">
        <v>4</v>
      </c>
      <c r="B3" s="8" t="s">
        <v>5</v>
      </c>
      <c r="C3" s="8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tr">
        <f>_xlfn.DISPIMG("ID_C92B6A316737458190F15F7FBEAB78A5",1)</f>
        <v>=DISPIMG("ID_C92B6A316737458190F15F7FBEAB78A5",1)</v>
      </c>
      <c r="J3" s="9"/>
      <c r="K3" s="9"/>
      <c r="L3" s="9"/>
      <c r="M3" s="9"/>
      <c r="N3" s="9"/>
      <c r="O3" s="9"/>
      <c r="P3" s="9"/>
      <c r="Q3" s="9"/>
      <c r="R3" s="10"/>
    </row>
    <row r="4" ht="33" spans="1:18">
      <c r="A4" s="7" t="s">
        <v>12</v>
      </c>
      <c r="B4" s="8" t="s">
        <v>5</v>
      </c>
      <c r="C4" s="8" t="s">
        <v>6</v>
      </c>
      <c r="D4" s="9" t="s">
        <v>13</v>
      </c>
      <c r="E4" s="9" t="s">
        <v>14</v>
      </c>
      <c r="F4" s="9" t="s">
        <v>15</v>
      </c>
      <c r="G4" s="9" t="s">
        <v>16</v>
      </c>
      <c r="H4" s="9" t="s">
        <v>17</v>
      </c>
      <c r="I4" s="9" t="s">
        <v>18</v>
      </c>
      <c r="J4" s="9" t="s">
        <v>19</v>
      </c>
      <c r="K4" s="9" t="s">
        <v>18</v>
      </c>
      <c r="L4" s="9" t="s">
        <v>20</v>
      </c>
      <c r="M4" s="9" t="s">
        <v>21</v>
      </c>
      <c r="N4" s="9" t="s">
        <v>22</v>
      </c>
      <c r="O4" s="9" t="s">
        <v>23</v>
      </c>
      <c r="P4" s="9" t="s">
        <v>11</v>
      </c>
      <c r="Q4" s="9" t="str">
        <f>_xlfn.DISPIMG("ID_F1F5A0D9CC974A269252D4EF23BF8C4B",1)</f>
        <v>=DISPIMG("ID_F1F5A0D9CC974A269252D4EF23BF8C4B",1)</v>
      </c>
      <c r="R4" s="10" t="str">
        <f>_xlfn.DISPIMG("ID_EBE838E1C29D45AD827C188DA5653174",1)</f>
        <v>=DISPIMG("ID_EBE838E1C29D45AD827C188DA5653174",1)</v>
      </c>
    </row>
    <row r="5" ht="33" spans="1:18">
      <c r="A5" s="7" t="s">
        <v>24</v>
      </c>
      <c r="B5" s="8" t="s">
        <v>5</v>
      </c>
      <c r="C5" s="8" t="s">
        <v>6</v>
      </c>
      <c r="D5" s="9" t="s">
        <v>25</v>
      </c>
      <c r="E5" s="9" t="s">
        <v>26</v>
      </c>
      <c r="F5" s="9" t="s">
        <v>27</v>
      </c>
      <c r="G5" s="9" t="s">
        <v>28</v>
      </c>
      <c r="H5" s="9" t="s">
        <v>10</v>
      </c>
      <c r="I5" s="9" t="s">
        <v>11</v>
      </c>
      <c r="J5" s="9" t="str">
        <f>_xlfn.DISPIMG("ID_FA9C8640E5844B828D65C643450456B3",1)</f>
        <v>=DISPIMG("ID_FA9C8640E5844B828D65C643450456B3",1)</v>
      </c>
      <c r="K5" s="9"/>
      <c r="L5" s="9"/>
      <c r="M5" s="9"/>
      <c r="N5" s="9"/>
      <c r="O5" s="9"/>
      <c r="P5" s="9"/>
      <c r="Q5" s="9"/>
      <c r="R5" s="10"/>
    </row>
    <row r="6" ht="49.5" spans="1:18">
      <c r="A6" s="7" t="s">
        <v>29</v>
      </c>
      <c r="B6" s="8" t="s">
        <v>5</v>
      </c>
      <c r="C6" s="8" t="s">
        <v>6</v>
      </c>
      <c r="D6" s="9" t="s">
        <v>30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11</v>
      </c>
      <c r="J6" s="9"/>
      <c r="K6" s="9"/>
      <c r="L6" s="9"/>
      <c r="M6" s="9"/>
      <c r="N6" s="9"/>
      <c r="O6" s="9"/>
      <c r="P6" s="9"/>
      <c r="Q6" s="9"/>
      <c r="R6" s="10"/>
    </row>
    <row r="7" ht="33" spans="1:18">
      <c r="A7" s="7" t="s">
        <v>35</v>
      </c>
      <c r="B7" s="8" t="s">
        <v>5</v>
      </c>
      <c r="C7" s="8" t="s">
        <v>6</v>
      </c>
      <c r="D7" s="9" t="s">
        <v>36</v>
      </c>
      <c r="E7" s="9" t="s">
        <v>37</v>
      </c>
      <c r="F7" s="9" t="s">
        <v>38</v>
      </c>
      <c r="G7" s="9" t="s">
        <v>10</v>
      </c>
      <c r="H7" s="9" t="str">
        <f>_xlfn.DISPIMG("ID_D8EC14DB779B4B2B97CBDE2F2FE60ECE",1)</f>
        <v>=DISPIMG("ID_D8EC14DB779B4B2B97CBDE2F2FE60ECE",1)</v>
      </c>
      <c r="I7" s="9"/>
      <c r="J7" s="9"/>
      <c r="K7" s="9"/>
      <c r="L7" s="9"/>
      <c r="M7" s="9"/>
      <c r="N7" s="9"/>
      <c r="O7" s="9"/>
      <c r="P7" s="9"/>
      <c r="Q7" s="9"/>
      <c r="R7" s="10"/>
    </row>
    <row r="8" ht="33.75" spans="1:18">
      <c r="A8" s="11" t="s">
        <v>39</v>
      </c>
      <c r="B8" s="12" t="s">
        <v>40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4"/>
    </row>
    <row r="9" ht="17.25" spans="1:18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/>
      <c r="O9" s="16"/>
      <c r="P9" s="16"/>
      <c r="Q9" s="16"/>
      <c r="R9" s="16"/>
    </row>
    <row r="10" ht="33" spans="1:18">
      <c r="A10" s="3" t="s">
        <v>41</v>
      </c>
      <c r="B10" s="4" t="s">
        <v>42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17"/>
      <c r="O10" s="18"/>
      <c r="P10" s="18"/>
      <c r="Q10" s="18"/>
      <c r="R10" s="18"/>
    </row>
    <row r="11" ht="16.5" spans="1:18">
      <c r="A11" s="7" t="s">
        <v>43</v>
      </c>
      <c r="B11" s="9" t="s">
        <v>44</v>
      </c>
      <c r="C11" s="9" t="s">
        <v>45</v>
      </c>
      <c r="D11" s="9" t="s">
        <v>46</v>
      </c>
      <c r="E11" s="9" t="s">
        <v>47</v>
      </c>
      <c r="F11" s="9" t="s">
        <v>48</v>
      </c>
      <c r="G11" s="9" t="s">
        <v>49</v>
      </c>
      <c r="H11" s="9" t="s">
        <v>6</v>
      </c>
      <c r="I11" s="9" t="s">
        <v>50</v>
      </c>
      <c r="J11" s="9" t="s">
        <v>51</v>
      </c>
      <c r="K11" s="9"/>
      <c r="L11" s="9"/>
      <c r="M11" s="10"/>
      <c r="N11" s="19"/>
      <c r="O11" s="20"/>
      <c r="P11" s="20"/>
      <c r="Q11" s="20"/>
      <c r="R11" s="20"/>
    </row>
    <row r="12" ht="16.5" spans="1:18">
      <c r="A12" s="7" t="s">
        <v>52</v>
      </c>
      <c r="B12" s="8" t="s">
        <v>46</v>
      </c>
      <c r="C12" s="8" t="s">
        <v>6</v>
      </c>
      <c r="D12" s="9" t="s">
        <v>47</v>
      </c>
      <c r="E12" s="9" t="s">
        <v>53</v>
      </c>
      <c r="F12" s="9" t="s">
        <v>54</v>
      </c>
      <c r="G12" s="9" t="s">
        <v>55</v>
      </c>
      <c r="H12" s="9" t="s">
        <v>56</v>
      </c>
      <c r="I12" s="9" t="s">
        <v>57</v>
      </c>
      <c r="J12" s="9" t="s">
        <v>10</v>
      </c>
      <c r="K12" s="9" t="s">
        <v>11</v>
      </c>
      <c r="L12" s="9" t="str">
        <f>_xlfn.DISPIMG("ID_D362B6F81C1748579F3668F1FD65D20B",1)</f>
        <v>=DISPIMG("ID_D362B6F81C1748579F3668F1FD65D20B",1)</v>
      </c>
      <c r="M12" s="10" t="str">
        <f>_xlfn.DISPIMG("ID_A34DFFA87DC74546AE969DF6E2450752",1)</f>
        <v>=DISPIMG("ID_A34DFFA87DC74546AE969DF6E2450752",1)</v>
      </c>
      <c r="N12" s="19"/>
      <c r="O12" s="20"/>
      <c r="P12" s="20"/>
      <c r="Q12" s="20"/>
      <c r="R12" s="20"/>
    </row>
    <row r="13" ht="33.75" spans="1:18">
      <c r="A13" s="11" t="s">
        <v>58</v>
      </c>
      <c r="B13" s="21" t="s">
        <v>46</v>
      </c>
      <c r="C13" s="22" t="s">
        <v>47</v>
      </c>
      <c r="D13" s="22" t="s">
        <v>59</v>
      </c>
      <c r="E13" s="22" t="s">
        <v>60</v>
      </c>
      <c r="F13" s="21" t="s">
        <v>61</v>
      </c>
      <c r="G13" s="21" t="s">
        <v>62</v>
      </c>
      <c r="H13" s="22" t="s">
        <v>63</v>
      </c>
      <c r="I13" s="22" t="s">
        <v>64</v>
      </c>
      <c r="J13" s="22" t="s">
        <v>65</v>
      </c>
      <c r="K13" s="22" t="s">
        <v>66</v>
      </c>
      <c r="L13" s="22"/>
      <c r="M13" s="23"/>
      <c r="N13" s="19"/>
      <c r="O13" s="20"/>
      <c r="P13" s="20"/>
      <c r="Q13" s="20"/>
      <c r="R13" s="20"/>
    </row>
    <row r="14" ht="17.25" spans="1:18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6"/>
      <c r="L14" s="16"/>
      <c r="M14" s="16"/>
      <c r="N14" s="20"/>
      <c r="O14" s="20"/>
      <c r="P14" s="20"/>
      <c r="Q14" s="20"/>
      <c r="R14" s="20"/>
    </row>
    <row r="15" ht="16.5" spans="1:18">
      <c r="A15" s="24" t="s">
        <v>67</v>
      </c>
      <c r="B15" s="25" t="s">
        <v>68</v>
      </c>
      <c r="C15" s="5"/>
      <c r="D15" s="5"/>
      <c r="E15" s="5"/>
      <c r="F15" s="5"/>
      <c r="G15" s="25" t="s">
        <v>69</v>
      </c>
      <c r="H15" s="5"/>
      <c r="I15" s="5"/>
      <c r="J15" s="6"/>
      <c r="K15" s="19"/>
      <c r="L15" s="20"/>
      <c r="M15" s="20"/>
      <c r="N15" s="20"/>
      <c r="O15" s="20"/>
      <c r="P15" s="20"/>
      <c r="Q15" s="20"/>
      <c r="R15" s="20"/>
    </row>
    <row r="16" ht="33.75" spans="1:18">
      <c r="A16" s="11" t="s">
        <v>70</v>
      </c>
      <c r="B16" s="21" t="s">
        <v>5</v>
      </c>
      <c r="C16" s="21" t="s">
        <v>6</v>
      </c>
      <c r="D16" s="22" t="s">
        <v>71</v>
      </c>
      <c r="E16" s="22" t="s">
        <v>72</v>
      </c>
      <c r="F16" s="22" t="s">
        <v>73</v>
      </c>
      <c r="G16" s="22" t="s">
        <v>74</v>
      </c>
      <c r="H16" s="22" t="s">
        <v>75</v>
      </c>
      <c r="I16" s="22" t="s">
        <v>76</v>
      </c>
      <c r="J16" s="23" t="s">
        <v>77</v>
      </c>
      <c r="K16" s="19"/>
      <c r="L16" s="20"/>
      <c r="M16" s="20"/>
      <c r="N16" s="20"/>
      <c r="O16" s="20"/>
      <c r="P16" s="20"/>
      <c r="Q16" s="20"/>
      <c r="R16" s="20"/>
    </row>
    <row r="17" ht="17.25" spans="1:18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26"/>
      <c r="L17" s="26"/>
      <c r="M17" s="26"/>
      <c r="N17" s="26"/>
      <c r="O17" s="20"/>
      <c r="P17" s="20"/>
      <c r="Q17" s="20"/>
      <c r="R17" s="20"/>
    </row>
    <row r="18" ht="33.75" spans="1:18">
      <c r="A18" s="27" t="s">
        <v>78</v>
      </c>
      <c r="B18" s="28" t="s">
        <v>46</v>
      </c>
      <c r="C18" s="29" t="s">
        <v>47</v>
      </c>
      <c r="D18" s="28" t="s">
        <v>79</v>
      </c>
      <c r="E18" s="30" t="s">
        <v>80</v>
      </c>
      <c r="F18" s="30" t="s">
        <v>72</v>
      </c>
      <c r="G18" s="30" t="s">
        <v>81</v>
      </c>
      <c r="H18" s="30" t="s">
        <v>82</v>
      </c>
      <c r="I18" s="30" t="s">
        <v>83</v>
      </c>
      <c r="J18" s="30" t="s">
        <v>84</v>
      </c>
      <c r="K18" s="30" t="s">
        <v>85</v>
      </c>
      <c r="L18" s="30" t="s">
        <v>86</v>
      </c>
      <c r="M18" s="30" t="s">
        <v>87</v>
      </c>
      <c r="N18" s="31" t="s">
        <v>88</v>
      </c>
      <c r="O18" s="19"/>
      <c r="P18" s="20"/>
      <c r="Q18" s="20"/>
      <c r="R18" s="20"/>
    </row>
    <row r="19" ht="17.25" spans="1:18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20"/>
      <c r="P19" s="20"/>
      <c r="Q19" s="20"/>
      <c r="R19" s="20"/>
    </row>
    <row r="20" ht="49.5" spans="1:18">
      <c r="A20" s="24" t="s">
        <v>89</v>
      </c>
      <c r="B20" s="32" t="s">
        <v>90</v>
      </c>
      <c r="C20" s="32" t="s">
        <v>6</v>
      </c>
      <c r="D20" s="32" t="s">
        <v>91</v>
      </c>
      <c r="E20" s="25" t="s">
        <v>92</v>
      </c>
      <c r="F20" s="32" t="s">
        <v>93</v>
      </c>
      <c r="G20" s="25" t="s">
        <v>94</v>
      </c>
      <c r="H20" s="25" t="s">
        <v>95</v>
      </c>
      <c r="I20" s="25" t="s">
        <v>96</v>
      </c>
      <c r="J20" s="25" t="s">
        <v>97</v>
      </c>
      <c r="K20" s="25" t="s">
        <v>98</v>
      </c>
      <c r="L20" s="25" t="s">
        <v>99</v>
      </c>
      <c r="M20" s="25" t="s">
        <v>100</v>
      </c>
      <c r="N20" s="33" t="s">
        <v>101</v>
      </c>
      <c r="O20" s="19"/>
      <c r="P20" s="20"/>
      <c r="Q20" s="20"/>
      <c r="R20" s="20"/>
    </row>
    <row r="21" ht="16.5" spans="1:18">
      <c r="A21" s="34"/>
      <c r="B21" s="9"/>
      <c r="C21" s="9"/>
      <c r="D21" s="9"/>
      <c r="E21" s="9"/>
      <c r="F21" s="35" t="s">
        <v>102</v>
      </c>
      <c r="G21" s="9"/>
      <c r="H21" s="9"/>
      <c r="I21" s="9"/>
      <c r="J21" s="9"/>
      <c r="K21" s="9"/>
      <c r="L21" s="9"/>
      <c r="M21" s="9"/>
      <c r="N21" s="36" t="s">
        <v>103</v>
      </c>
      <c r="O21" s="19"/>
      <c r="P21" s="20"/>
      <c r="Q21" s="20"/>
      <c r="R21" s="20"/>
    </row>
    <row r="22" ht="33" spans="1:18">
      <c r="A22" s="34"/>
      <c r="B22" s="9"/>
      <c r="C22" s="9"/>
      <c r="D22" s="9"/>
      <c r="E22" s="9"/>
      <c r="F22" s="35" t="s">
        <v>104</v>
      </c>
      <c r="G22" s="9"/>
      <c r="H22" s="9"/>
      <c r="I22" s="37"/>
      <c r="J22" s="37"/>
      <c r="K22" s="9"/>
      <c r="L22" s="9"/>
      <c r="M22" s="9"/>
      <c r="N22" s="36" t="s">
        <v>105</v>
      </c>
      <c r="O22" s="19"/>
      <c r="P22" s="20"/>
      <c r="Q22" s="20"/>
      <c r="R22" s="20"/>
    </row>
    <row r="23" ht="33.75" spans="1:18">
      <c r="A23" s="38"/>
      <c r="B23" s="22"/>
      <c r="C23" s="22"/>
      <c r="D23" s="22"/>
      <c r="E23" s="22"/>
      <c r="F23" s="12" t="s">
        <v>106</v>
      </c>
      <c r="G23" s="22"/>
      <c r="H23" s="22"/>
      <c r="I23" s="22"/>
      <c r="J23" s="22"/>
      <c r="K23" s="22"/>
      <c r="L23" s="22"/>
      <c r="M23" s="22"/>
      <c r="N23" s="39" t="s">
        <v>107</v>
      </c>
      <c r="O23" s="19"/>
      <c r="P23" s="20"/>
      <c r="Q23" s="20"/>
      <c r="R23" s="20"/>
    </row>
  </sheetData>
  <mergeCells count="8">
    <mergeCell ref="A1:O1"/>
    <mergeCell ref="B2:C2"/>
    <mergeCell ref="D2:R2"/>
    <mergeCell ref="B8:R8"/>
    <mergeCell ref="B10:M10"/>
    <mergeCell ref="B15:F15"/>
    <mergeCell ref="G15:J15"/>
    <mergeCell ref="H22:J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萧尘</cp:lastModifiedBy>
  <dcterms:created xsi:type="dcterms:W3CDTF">2026-06-17T01:06:50Z</dcterms:created>
  <dcterms:modified xsi:type="dcterms:W3CDTF">2026-06-17T01:07:42Z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E0F7802C430347D6A3F89A305CA2B4C8_11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